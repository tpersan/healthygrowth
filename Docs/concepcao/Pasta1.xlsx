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psantos\source\repos\Beneficios.Functions\pessoal\heitor-gamificado\saida\"/>
    </mc:Choice>
  </mc:AlternateContent>
  <xr:revisionPtr revIDLastSave="0" documentId="8_{48CE3719-AEFF-46C5-9BA6-38A9404506AC}" xr6:coauthVersionLast="47" xr6:coauthVersionMax="47" xr10:uidLastSave="{00000000-0000-0000-0000-000000000000}"/>
  <bookViews>
    <workbookView xWindow="-110" yWindow="10690" windowWidth="19420" windowHeight="10300" xr2:uid="{E497E95C-A5BD-4A40-BB1E-3440A34DB6AF}"/>
  </bookViews>
  <sheets>
    <sheet name="Regras" sheetId="5" r:id="rId1"/>
    <sheet name="Ranking" sheetId="4" r:id="rId2"/>
    <sheet name="Notas" sheetId="3" r:id="rId3"/>
    <sheet name="Diario" sheetId="2" r:id="rId4"/>
    <sheet name="Dashboard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4" l="1"/>
  <c r="G2" i="4"/>
  <c r="F2" i="4"/>
  <c r="E8" i="4"/>
  <c r="E7" i="4"/>
  <c r="E6" i="4"/>
  <c r="E5" i="4"/>
  <c r="E4" i="4"/>
  <c r="E3" i="4"/>
  <c r="E2" i="4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N32" i="2"/>
  <c r="L32" i="2"/>
  <c r="K32" i="2"/>
  <c r="J32" i="2"/>
  <c r="I32" i="2"/>
  <c r="H32" i="2"/>
  <c r="A32" i="2"/>
  <c r="N31" i="2"/>
  <c r="L31" i="2"/>
  <c r="K31" i="2"/>
  <c r="J31" i="2"/>
  <c r="I31" i="2"/>
  <c r="H31" i="2"/>
  <c r="A31" i="2"/>
  <c r="N30" i="2"/>
  <c r="L30" i="2"/>
  <c r="K30" i="2"/>
  <c r="J30" i="2"/>
  <c r="I30" i="2"/>
  <c r="H30" i="2"/>
  <c r="A30" i="2"/>
  <c r="N29" i="2"/>
  <c r="L29" i="2"/>
  <c r="K29" i="2"/>
  <c r="J29" i="2"/>
  <c r="I29" i="2"/>
  <c r="H29" i="2"/>
  <c r="A29" i="2"/>
  <c r="N28" i="2"/>
  <c r="L28" i="2"/>
  <c r="K28" i="2"/>
  <c r="J28" i="2"/>
  <c r="I28" i="2"/>
  <c r="H28" i="2"/>
  <c r="A28" i="2"/>
  <c r="N27" i="2"/>
  <c r="L27" i="2"/>
  <c r="K27" i="2"/>
  <c r="J27" i="2"/>
  <c r="I27" i="2"/>
  <c r="H27" i="2"/>
  <c r="A27" i="2"/>
  <c r="N26" i="2"/>
  <c r="L26" i="2"/>
  <c r="K26" i="2"/>
  <c r="J26" i="2"/>
  <c r="I26" i="2"/>
  <c r="H26" i="2"/>
  <c r="A26" i="2"/>
  <c r="N25" i="2"/>
  <c r="L25" i="2"/>
  <c r="K25" i="2"/>
  <c r="J25" i="2"/>
  <c r="I25" i="2"/>
  <c r="H25" i="2"/>
  <c r="A25" i="2"/>
  <c r="N24" i="2"/>
  <c r="L24" i="2"/>
  <c r="K24" i="2"/>
  <c r="J24" i="2"/>
  <c r="I24" i="2"/>
  <c r="H24" i="2"/>
  <c r="A24" i="2"/>
  <c r="N23" i="2"/>
  <c r="L23" i="2"/>
  <c r="K23" i="2"/>
  <c r="J23" i="2"/>
  <c r="I23" i="2"/>
  <c r="H23" i="2"/>
  <c r="A23" i="2"/>
  <c r="N22" i="2"/>
  <c r="L22" i="2"/>
  <c r="K22" i="2"/>
  <c r="J22" i="2"/>
  <c r="I22" i="2"/>
  <c r="H22" i="2"/>
  <c r="A22" i="2"/>
  <c r="N21" i="2"/>
  <c r="L21" i="2"/>
  <c r="K21" i="2"/>
  <c r="J21" i="2"/>
  <c r="I21" i="2"/>
  <c r="H21" i="2"/>
  <c r="A21" i="2"/>
  <c r="N20" i="2"/>
  <c r="L20" i="2"/>
  <c r="K20" i="2"/>
  <c r="J20" i="2"/>
  <c r="I20" i="2"/>
  <c r="H20" i="2"/>
  <c r="A20" i="2"/>
  <c r="N19" i="2"/>
  <c r="L19" i="2"/>
  <c r="K19" i="2"/>
  <c r="J19" i="2"/>
  <c r="I19" i="2"/>
  <c r="H19" i="2"/>
  <c r="A19" i="2"/>
  <c r="N18" i="2"/>
  <c r="L18" i="2"/>
  <c r="K18" i="2"/>
  <c r="J18" i="2"/>
  <c r="I18" i="2"/>
  <c r="H18" i="2"/>
  <c r="A18" i="2"/>
  <c r="N17" i="2"/>
  <c r="L17" i="2"/>
  <c r="K17" i="2"/>
  <c r="J17" i="2"/>
  <c r="I17" i="2"/>
  <c r="H17" i="2"/>
  <c r="A17" i="2"/>
  <c r="N16" i="2"/>
  <c r="L16" i="2"/>
  <c r="K16" i="2"/>
  <c r="J16" i="2"/>
  <c r="I16" i="2"/>
  <c r="H16" i="2"/>
  <c r="A16" i="2"/>
  <c r="N15" i="2"/>
  <c r="L15" i="2"/>
  <c r="K15" i="2"/>
  <c r="J15" i="2"/>
  <c r="I15" i="2"/>
  <c r="H15" i="2"/>
  <c r="A15" i="2"/>
  <c r="N14" i="2"/>
  <c r="L14" i="2"/>
  <c r="K14" i="2"/>
  <c r="J14" i="2"/>
  <c r="I14" i="2"/>
  <c r="H14" i="2"/>
  <c r="A14" i="2"/>
  <c r="N13" i="2"/>
  <c r="L13" i="2"/>
  <c r="K13" i="2"/>
  <c r="J13" i="2"/>
  <c r="I13" i="2"/>
  <c r="H13" i="2"/>
  <c r="A13" i="2"/>
  <c r="N12" i="2"/>
  <c r="L12" i="2"/>
  <c r="K12" i="2"/>
  <c r="J12" i="2"/>
  <c r="I12" i="2"/>
  <c r="H12" i="2"/>
  <c r="A12" i="2"/>
  <c r="N11" i="2"/>
  <c r="L11" i="2"/>
  <c r="K11" i="2"/>
  <c r="J11" i="2"/>
  <c r="I11" i="2"/>
  <c r="H11" i="2"/>
  <c r="A11" i="2"/>
  <c r="N10" i="2"/>
  <c r="L10" i="2"/>
  <c r="K10" i="2"/>
  <c r="J10" i="2"/>
  <c r="I10" i="2"/>
  <c r="H10" i="2"/>
  <c r="A10" i="2"/>
  <c r="N9" i="2"/>
  <c r="L9" i="2"/>
  <c r="K9" i="2"/>
  <c r="J9" i="2"/>
  <c r="I9" i="2"/>
  <c r="H9" i="2"/>
  <c r="A9" i="2"/>
  <c r="N8" i="2"/>
  <c r="L8" i="2"/>
  <c r="K8" i="2"/>
  <c r="J8" i="2"/>
  <c r="I8" i="2"/>
  <c r="H8" i="2"/>
  <c r="A8" i="2"/>
  <c r="N7" i="2"/>
  <c r="L7" i="2"/>
  <c r="K7" i="2"/>
  <c r="J7" i="2"/>
  <c r="I7" i="2"/>
  <c r="H7" i="2"/>
  <c r="A7" i="2"/>
  <c r="N6" i="2"/>
  <c r="L6" i="2"/>
  <c r="K6" i="2"/>
  <c r="J6" i="2"/>
  <c r="I6" i="2"/>
  <c r="H6" i="2"/>
  <c r="A6" i="2"/>
  <c r="N5" i="2"/>
  <c r="L5" i="2"/>
  <c r="K5" i="2"/>
  <c r="J5" i="2"/>
  <c r="I5" i="2"/>
  <c r="H5" i="2"/>
  <c r="A5" i="2"/>
  <c r="N4" i="2"/>
  <c r="L4" i="2"/>
  <c r="K4" i="2"/>
  <c r="J4" i="2"/>
  <c r="I4" i="2"/>
  <c r="H4" i="2"/>
  <c r="A4" i="2"/>
  <c r="N3" i="2"/>
  <c r="L3" i="2"/>
  <c r="K3" i="2"/>
  <c r="J3" i="2"/>
  <c r="I3" i="2"/>
  <c r="H3" i="2"/>
  <c r="A3" i="2"/>
  <c r="N2" i="2"/>
  <c r="L2" i="2"/>
  <c r="K2" i="2"/>
  <c r="J2" i="2"/>
  <c r="I2" i="2"/>
  <c r="H2" i="2"/>
  <c r="A2" i="2"/>
  <c r="B14" i="1"/>
  <c r="C12" i="1"/>
  <c r="B12" i="1" s="1"/>
  <c r="C13" i="1" l="1"/>
  <c r="B13" i="1" s="1"/>
  <c r="B5" i="1" s="1"/>
  <c r="B7" i="1" s="1"/>
  <c r="A17" i="1" s="1"/>
  <c r="B9" i="1" l="1"/>
  <c r="B10" i="1"/>
  <c r="B6" i="1"/>
</calcChain>
</file>

<file path=xl/sharedStrings.xml><?xml version="1.0" encoding="utf-8"?>
<sst xmlns="http://schemas.openxmlformats.org/spreadsheetml/2006/main" count="53" uniqueCount="46">
  <si>
    <t>PLANO EPICO DE CRESCIMENTO E ESTUDOS - HEITOR</t>
  </si>
  <si>
    <t>Meta Final</t>
  </si>
  <si>
    <t>Nintendo Switch</t>
  </si>
  <si>
    <t>Total Acumulado</t>
  </si>
  <si>
    <t>Falta para 3000</t>
  </si>
  <si>
    <t>Progresso</t>
  </si>
  <si>
    <t>Level Atual</t>
  </si>
  <si>
    <t>Recompensa Atual</t>
  </si>
  <si>
    <t>Bonus Chefao das Notas</t>
  </si>
  <si>
    <t>qtde notas 10</t>
  </si>
  <si>
    <t>Bonus Chefao da Semana</t>
  </si>
  <si>
    <t>dias perfeitos</t>
  </si>
  <si>
    <t>Bonus Ranking Semanal</t>
  </si>
  <si>
    <t>Barra de Progresso</t>
  </si>
  <si>
    <t>Data</t>
  </si>
  <si>
    <t>Dormiu cedo</t>
  </si>
  <si>
    <t>Cafe da manha</t>
  </si>
  <si>
    <t>Pre-treino</t>
  </si>
  <si>
    <t>Pos-treino</t>
  </si>
  <si>
    <t>Pouca tela</t>
  </si>
  <si>
    <t>Estudo do dia</t>
  </si>
  <si>
    <t>R$ Habitos</t>
  </si>
  <si>
    <t>Dia perfeito</t>
  </si>
  <si>
    <t>Streak</t>
  </si>
  <si>
    <t>Bonus Combo</t>
  </si>
  <si>
    <t>Penalidade</t>
  </si>
  <si>
    <t>Observacoes</t>
  </si>
  <si>
    <t>Total Dia</t>
  </si>
  <si>
    <t>Disciplina</t>
  </si>
  <si>
    <t>Nota (0-10)</t>
  </si>
  <si>
    <t>R$ Ganho</t>
  </si>
  <si>
    <t>Nome</t>
  </si>
  <si>
    <t>Dias perfeitos</t>
  </si>
  <si>
    <t>Habitos completos</t>
  </si>
  <si>
    <t>Estudos feitos</t>
  </si>
  <si>
    <t>XP Total</t>
  </si>
  <si>
    <t>Posicao</t>
  </si>
  <si>
    <t>Bonus</t>
  </si>
  <si>
    <t>Posicao Heitor</t>
  </si>
  <si>
    <t>Heitor</t>
  </si>
  <si>
    <t>Categoria</t>
  </si>
  <si>
    <t>Regra</t>
  </si>
  <si>
    <t>Valor</t>
  </si>
  <si>
    <t>Observacao</t>
  </si>
  <si>
    <t>Habito</t>
  </si>
  <si>
    <t>Dormir cedo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</si>
</sst>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000%"/>
    <numFmt numFmtId="165" formatCode="dd/mm/\y\y\y\y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rgb="FFFFFFFF"/>
      <name val="Aptos Narrow"/>
      <family val="2"/>
      <scheme val="minor"/>
    </font>
    <font>
      <b/>
      <sz val="16"/>
      <color rgb="FF00B050"/>
      <name val="Consolas"/>
      <family val="3"/>
    </font>
    <font>
      <b/>
      <sz val="11"/>
      <color rgb="FFFFFFFF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DFDFDF"/>
        <bgColor indexed="64"/>
      </patternFill>
    </fill>
    <fill>
      <patternFill patternType="solid">
        <fgColor rgb="FFD0D0D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1" fillId="3" borderId="1" xfId="0" applyFont="1" applyFill="1" applyBorder="1"/>
    <xf numFmtId="0" fontId="0" fillId="3" borderId="1" xfId="0" applyFill="1" applyBorder="1"/>
    <xf numFmtId="164" fontId="0" fillId="3" borderId="1" xfId="0" applyNumberFormat="1" applyFill="1" applyBorder="1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65" fontId="0" fillId="5" borderId="1" xfId="0" applyNumberFormat="1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39004-7AA1-4769-94F3-D1DF1C70EC4B}">
  <dimension ref="A1:D2"/>
  <sheetViews>
    <sheetView tabSelected="1" workbookViewId="0"/>
  </sheetViews>
  <sheetFormatPr defaultRowHeight="14.5" x14ac:dyDescent="0.35"/>
  <sheetData>
    <row r="1" spans="1:4" x14ac:dyDescent="0.35">
      <c r="A1" s="10" t="s">
        <v>40</v>
      </c>
      <c r="B1" s="10" t="s">
        <v>41</v>
      </c>
      <c r="C1" s="10" t="s">
        <v>42</v>
      </c>
      <c r="D1" s="10" t="s">
        <v>43</v>
      </c>
    </row>
    <row r="2" spans="1:4" x14ac:dyDescent="0.35">
      <c r="A2" t="s">
        <v>44</v>
      </c>
      <c r="B2" t="s">
        <v>45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CFC6D-86BA-4F10-A5C0-1057975E281A}">
  <dimension ref="A1:H8"/>
  <sheetViews>
    <sheetView workbookViewId="0"/>
  </sheetViews>
  <sheetFormatPr defaultRowHeight="14.5" x14ac:dyDescent="0.35"/>
  <cols>
    <col min="1" max="1" width="5.81640625" bestFit="1" customWidth="1"/>
    <col min="2" max="2" width="12.36328125" bestFit="1" customWidth="1"/>
    <col min="3" max="3" width="16.54296875" bestFit="1" customWidth="1"/>
    <col min="4" max="4" width="12.54296875" bestFit="1" customWidth="1"/>
    <col min="5" max="5" width="7.453125" bestFit="1" customWidth="1"/>
    <col min="6" max="6" width="7.36328125" bestFit="1" customWidth="1"/>
    <col min="7" max="7" width="6" bestFit="1" customWidth="1"/>
    <col min="8" max="8" width="12.90625" bestFit="1" customWidth="1"/>
  </cols>
  <sheetData>
    <row r="1" spans="1:8" x14ac:dyDescent="0.35">
      <c r="A1" s="11" t="s">
        <v>31</v>
      </c>
      <c r="B1" s="11" t="s">
        <v>32</v>
      </c>
      <c r="C1" s="11" t="s">
        <v>33</v>
      </c>
      <c r="D1" s="11" t="s">
        <v>34</v>
      </c>
      <c r="E1" s="11" t="s">
        <v>35</v>
      </c>
      <c r="F1" s="11" t="s">
        <v>36</v>
      </c>
      <c r="G1" s="11" t="s">
        <v>37</v>
      </c>
      <c r="H1" s="11" t="s">
        <v>38</v>
      </c>
    </row>
    <row r="2" spans="1:8" x14ac:dyDescent="0.35">
      <c r="A2" s="16" t="s">
        <v>39</v>
      </c>
      <c r="B2" s="17"/>
      <c r="C2" s="17"/>
      <c r="D2" s="17"/>
      <c r="E2" s="17">
        <f>B2*30+C2*10+D2*20</f>
        <v>0</v>
      </c>
      <c r="F2" s="17">
        <f>RANK(E2,E2:E8,0)</f>
        <v>1</v>
      </c>
      <c r="G2" s="17">
        <f>IF(F2=1,50,IF(F2=2,30,IF(F2=3,10,0)))</f>
        <v>50</v>
      </c>
      <c r="H2" s="17">
        <f>F2</f>
        <v>1</v>
      </c>
    </row>
    <row r="3" spans="1:8" x14ac:dyDescent="0.35">
      <c r="A3" s="16" t="s">
        <v>39</v>
      </c>
      <c r="B3" s="17"/>
      <c r="C3" s="17"/>
      <c r="D3" s="17"/>
      <c r="E3" s="17">
        <f>B3*30+C3*10+D3*20</f>
        <v>0</v>
      </c>
      <c r="F3" s="17"/>
      <c r="G3" s="17"/>
      <c r="H3" s="17"/>
    </row>
    <row r="4" spans="1:8" x14ac:dyDescent="0.35">
      <c r="A4" s="16" t="s">
        <v>39</v>
      </c>
      <c r="B4" s="17"/>
      <c r="C4" s="17"/>
      <c r="D4" s="17"/>
      <c r="E4" s="17">
        <f>B4*30+C4*10+D4*20</f>
        <v>0</v>
      </c>
      <c r="F4" s="17"/>
      <c r="G4" s="17"/>
      <c r="H4" s="17"/>
    </row>
    <row r="5" spans="1:8" x14ac:dyDescent="0.35">
      <c r="A5" s="16" t="s">
        <v>39</v>
      </c>
      <c r="B5" s="17"/>
      <c r="C5" s="17"/>
      <c r="D5" s="17"/>
      <c r="E5" s="17">
        <f>B5*30+C5*10+D5*20</f>
        <v>0</v>
      </c>
      <c r="F5" s="17"/>
      <c r="G5" s="17"/>
      <c r="H5" s="17"/>
    </row>
    <row r="6" spans="1:8" x14ac:dyDescent="0.35">
      <c r="A6" s="16" t="s">
        <v>39</v>
      </c>
      <c r="B6" s="17"/>
      <c r="C6" s="17"/>
      <c r="D6" s="17"/>
      <c r="E6" s="17">
        <f>B6*30+C6*10+D6*20</f>
        <v>0</v>
      </c>
      <c r="F6" s="17"/>
      <c r="G6" s="17"/>
      <c r="H6" s="17"/>
    </row>
    <row r="7" spans="1:8" x14ac:dyDescent="0.35">
      <c r="A7" s="16" t="s">
        <v>39</v>
      </c>
      <c r="B7" s="17"/>
      <c r="C7" s="17"/>
      <c r="D7" s="17"/>
      <c r="E7" s="17">
        <f>B7*30+C7*10+D7*20</f>
        <v>0</v>
      </c>
      <c r="F7" s="17"/>
      <c r="G7" s="17"/>
      <c r="H7" s="17"/>
    </row>
    <row r="8" spans="1:8" x14ac:dyDescent="0.35">
      <c r="A8" s="16" t="s">
        <v>39</v>
      </c>
      <c r="B8" s="17"/>
      <c r="C8" s="17"/>
      <c r="D8" s="17"/>
      <c r="E8" s="17">
        <f>B8*30+C8*10+D8*20</f>
        <v>0</v>
      </c>
      <c r="F8" s="17"/>
      <c r="G8" s="17"/>
      <c r="H8" s="17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CCA08-FF32-43CC-ACC8-02FDB6FD3D08}">
  <dimension ref="A1:D40"/>
  <sheetViews>
    <sheetView workbookViewId="0"/>
  </sheetViews>
  <sheetFormatPr defaultRowHeight="14.5" x14ac:dyDescent="0.35"/>
  <cols>
    <col min="1" max="1" width="9.36328125" bestFit="1" customWidth="1"/>
    <col min="2" max="2" width="10" bestFit="1" customWidth="1"/>
    <col min="3" max="3" width="4.7265625" bestFit="1" customWidth="1"/>
    <col min="4" max="4" width="8.81640625" bestFit="1" customWidth="1"/>
  </cols>
  <sheetData>
    <row r="1" spans="1:4" x14ac:dyDescent="0.35">
      <c r="A1" s="11" t="s">
        <v>28</v>
      </c>
      <c r="B1" s="11" t="s">
        <v>29</v>
      </c>
      <c r="C1" s="11" t="s">
        <v>14</v>
      </c>
      <c r="D1" s="11" t="s">
        <v>30</v>
      </c>
    </row>
    <row r="2" spans="1:4" x14ac:dyDescent="0.35">
      <c r="A2" s="14"/>
      <c r="B2" s="15"/>
      <c r="C2" s="15"/>
      <c r="D2" s="15">
        <f>IF(B2=10,40,IF(B2&gt;=9,30,IF(B2&gt;=8,20,0)))</f>
        <v>0</v>
      </c>
    </row>
    <row r="3" spans="1:4" x14ac:dyDescent="0.35">
      <c r="A3" s="14"/>
      <c r="B3" s="15"/>
      <c r="C3" s="15"/>
      <c r="D3" s="15">
        <f>IF(B3=10,40,IF(B3&gt;=9,30,IF(B3&gt;=8,20,0)))</f>
        <v>0</v>
      </c>
    </row>
    <row r="4" spans="1:4" x14ac:dyDescent="0.35">
      <c r="A4" s="14"/>
      <c r="B4" s="15"/>
      <c r="C4" s="15"/>
      <c r="D4" s="15">
        <f>IF(B4=10,40,IF(B4&gt;=9,30,IF(B4&gt;=8,20,0)))</f>
        <v>0</v>
      </c>
    </row>
    <row r="5" spans="1:4" x14ac:dyDescent="0.35">
      <c r="A5" s="14"/>
      <c r="B5" s="15"/>
      <c r="C5" s="15"/>
      <c r="D5" s="15">
        <f>IF(B5=10,40,IF(B5&gt;=9,30,IF(B5&gt;=8,20,0)))</f>
        <v>0</v>
      </c>
    </row>
    <row r="6" spans="1:4" x14ac:dyDescent="0.35">
      <c r="A6" s="14"/>
      <c r="B6" s="15"/>
      <c r="C6" s="15"/>
      <c r="D6" s="15">
        <f>IF(B6=10,40,IF(B6&gt;=9,30,IF(B6&gt;=8,20,0)))</f>
        <v>0</v>
      </c>
    </row>
    <row r="7" spans="1:4" x14ac:dyDescent="0.35">
      <c r="A7" s="14"/>
      <c r="B7" s="15"/>
      <c r="C7" s="15"/>
      <c r="D7" s="15">
        <f>IF(B7=10,40,IF(B7&gt;=9,30,IF(B7&gt;=8,20,0)))</f>
        <v>0</v>
      </c>
    </row>
    <row r="8" spans="1:4" x14ac:dyDescent="0.35">
      <c r="A8" s="14"/>
      <c r="B8" s="15"/>
      <c r="C8" s="15"/>
      <c r="D8" s="15">
        <f>IF(B8=10,40,IF(B8&gt;=9,30,IF(B8&gt;=8,20,0)))</f>
        <v>0</v>
      </c>
    </row>
    <row r="9" spans="1:4" x14ac:dyDescent="0.35">
      <c r="A9" s="14"/>
      <c r="B9" s="15"/>
      <c r="C9" s="15"/>
      <c r="D9" s="15">
        <f>IF(B9=10,40,IF(B9&gt;=9,30,IF(B9&gt;=8,20,0)))</f>
        <v>0</v>
      </c>
    </row>
    <row r="10" spans="1:4" x14ac:dyDescent="0.35">
      <c r="A10" s="14"/>
      <c r="B10" s="15"/>
      <c r="C10" s="15"/>
      <c r="D10" s="15">
        <f>IF(B10=10,40,IF(B10&gt;=9,30,IF(B10&gt;=8,20,0)))</f>
        <v>0</v>
      </c>
    </row>
    <row r="11" spans="1:4" x14ac:dyDescent="0.35">
      <c r="A11" s="14"/>
      <c r="B11" s="15"/>
      <c r="C11" s="15"/>
      <c r="D11" s="15">
        <f>IF(B11=10,40,IF(B11&gt;=9,30,IF(B11&gt;=8,20,0)))</f>
        <v>0</v>
      </c>
    </row>
    <row r="12" spans="1:4" x14ac:dyDescent="0.35">
      <c r="A12" s="14"/>
      <c r="B12" s="15"/>
      <c r="C12" s="15"/>
      <c r="D12" s="15">
        <f>IF(B12=10,40,IF(B12&gt;=9,30,IF(B12&gt;=8,20,0)))</f>
        <v>0</v>
      </c>
    </row>
    <row r="13" spans="1:4" x14ac:dyDescent="0.35">
      <c r="A13" s="14"/>
      <c r="B13" s="15"/>
      <c r="C13" s="15"/>
      <c r="D13" s="15">
        <f>IF(B13=10,40,IF(B13&gt;=9,30,IF(B13&gt;=8,20,0)))</f>
        <v>0</v>
      </c>
    </row>
    <row r="14" spans="1:4" x14ac:dyDescent="0.35">
      <c r="A14" s="14"/>
      <c r="B14" s="15"/>
      <c r="C14" s="15"/>
      <c r="D14" s="15">
        <f>IF(B14=10,40,IF(B14&gt;=9,30,IF(B14&gt;=8,20,0)))</f>
        <v>0</v>
      </c>
    </row>
    <row r="15" spans="1:4" x14ac:dyDescent="0.35">
      <c r="A15" s="14"/>
      <c r="B15" s="15"/>
      <c r="C15" s="15"/>
      <c r="D15" s="15">
        <f>IF(B15=10,40,IF(B15&gt;=9,30,IF(B15&gt;=8,20,0)))</f>
        <v>0</v>
      </c>
    </row>
    <row r="16" spans="1:4" x14ac:dyDescent="0.35">
      <c r="A16" s="14"/>
      <c r="B16" s="15"/>
      <c r="C16" s="15"/>
      <c r="D16" s="15">
        <f>IF(B16=10,40,IF(B16&gt;=9,30,IF(B16&gt;=8,20,0)))</f>
        <v>0</v>
      </c>
    </row>
    <row r="17" spans="1:4" x14ac:dyDescent="0.35">
      <c r="A17" s="14"/>
      <c r="B17" s="15"/>
      <c r="C17" s="15"/>
      <c r="D17" s="15">
        <f>IF(B17=10,40,IF(B17&gt;=9,30,IF(B17&gt;=8,20,0)))</f>
        <v>0</v>
      </c>
    </row>
    <row r="18" spans="1:4" x14ac:dyDescent="0.35">
      <c r="A18" s="14"/>
      <c r="B18" s="15"/>
      <c r="C18" s="15"/>
      <c r="D18" s="15">
        <f>IF(B18=10,40,IF(B18&gt;=9,30,IF(B18&gt;=8,20,0)))</f>
        <v>0</v>
      </c>
    </row>
    <row r="19" spans="1:4" x14ac:dyDescent="0.35">
      <c r="A19" s="14"/>
      <c r="B19" s="15"/>
      <c r="C19" s="15"/>
      <c r="D19" s="15">
        <f>IF(B19=10,40,IF(B19&gt;=9,30,IF(B19&gt;=8,20,0)))</f>
        <v>0</v>
      </c>
    </row>
    <row r="20" spans="1:4" x14ac:dyDescent="0.35">
      <c r="A20" s="14"/>
      <c r="B20" s="15"/>
      <c r="C20" s="15"/>
      <c r="D20" s="15">
        <f>IF(B20=10,40,IF(B20&gt;=9,30,IF(B20&gt;=8,20,0)))</f>
        <v>0</v>
      </c>
    </row>
    <row r="21" spans="1:4" x14ac:dyDescent="0.35">
      <c r="A21" s="14"/>
      <c r="B21" s="15"/>
      <c r="C21" s="15"/>
      <c r="D21" s="15">
        <f>IF(B21=10,40,IF(B21&gt;=9,30,IF(B21&gt;=8,20,0)))</f>
        <v>0</v>
      </c>
    </row>
    <row r="22" spans="1:4" x14ac:dyDescent="0.35">
      <c r="A22" s="14"/>
      <c r="B22" s="15"/>
      <c r="C22" s="15"/>
      <c r="D22" s="15">
        <f>IF(B22=10,40,IF(B22&gt;=9,30,IF(B22&gt;=8,20,0)))</f>
        <v>0</v>
      </c>
    </row>
    <row r="23" spans="1:4" x14ac:dyDescent="0.35">
      <c r="A23" s="14"/>
      <c r="B23" s="15"/>
      <c r="C23" s="15"/>
      <c r="D23" s="15">
        <f>IF(B23=10,40,IF(B23&gt;=9,30,IF(B23&gt;=8,20,0)))</f>
        <v>0</v>
      </c>
    </row>
    <row r="24" spans="1:4" x14ac:dyDescent="0.35">
      <c r="A24" s="14"/>
      <c r="B24" s="15"/>
      <c r="C24" s="15"/>
      <c r="D24" s="15">
        <f>IF(B24=10,40,IF(B24&gt;=9,30,IF(B24&gt;=8,20,0)))</f>
        <v>0</v>
      </c>
    </row>
    <row r="25" spans="1:4" x14ac:dyDescent="0.35">
      <c r="A25" s="14"/>
      <c r="B25" s="15"/>
      <c r="C25" s="15"/>
      <c r="D25" s="15">
        <f>IF(B25=10,40,IF(B25&gt;=9,30,IF(B25&gt;=8,20,0)))</f>
        <v>0</v>
      </c>
    </row>
    <row r="26" spans="1:4" x14ac:dyDescent="0.35">
      <c r="A26" s="14"/>
      <c r="B26" s="15"/>
      <c r="C26" s="15"/>
      <c r="D26" s="15">
        <f>IF(B26=10,40,IF(B26&gt;=9,30,IF(B26&gt;=8,20,0)))</f>
        <v>0</v>
      </c>
    </row>
    <row r="27" spans="1:4" x14ac:dyDescent="0.35">
      <c r="A27" s="14"/>
      <c r="B27" s="15"/>
      <c r="C27" s="15"/>
      <c r="D27" s="15">
        <f>IF(B27=10,40,IF(B27&gt;=9,30,IF(B27&gt;=8,20,0)))</f>
        <v>0</v>
      </c>
    </row>
    <row r="28" spans="1:4" x14ac:dyDescent="0.35">
      <c r="A28" s="14"/>
      <c r="B28" s="15"/>
      <c r="C28" s="15"/>
      <c r="D28" s="15">
        <f>IF(B28=10,40,IF(B28&gt;=9,30,IF(B28&gt;=8,20,0)))</f>
        <v>0</v>
      </c>
    </row>
    <row r="29" spans="1:4" x14ac:dyDescent="0.35">
      <c r="A29" s="14"/>
      <c r="B29" s="15"/>
      <c r="C29" s="15"/>
      <c r="D29" s="15">
        <f>IF(B29=10,40,IF(B29&gt;=9,30,IF(B29&gt;=8,20,0)))</f>
        <v>0</v>
      </c>
    </row>
    <row r="30" spans="1:4" x14ac:dyDescent="0.35">
      <c r="A30" s="14"/>
      <c r="B30" s="15"/>
      <c r="C30" s="15"/>
      <c r="D30" s="15">
        <f>IF(B30=10,40,IF(B30&gt;=9,30,IF(B30&gt;=8,20,0)))</f>
        <v>0</v>
      </c>
    </row>
    <row r="31" spans="1:4" x14ac:dyDescent="0.35">
      <c r="A31" s="14"/>
      <c r="B31" s="15"/>
      <c r="C31" s="15"/>
      <c r="D31" s="15">
        <f>IF(B31=10,40,IF(B31&gt;=9,30,IF(B31&gt;=8,20,0)))</f>
        <v>0</v>
      </c>
    </row>
    <row r="32" spans="1:4" x14ac:dyDescent="0.35">
      <c r="A32" s="14"/>
      <c r="B32" s="15"/>
      <c r="C32" s="15"/>
      <c r="D32" s="15">
        <f>IF(B32=10,40,IF(B32&gt;=9,30,IF(B32&gt;=8,20,0)))</f>
        <v>0</v>
      </c>
    </row>
    <row r="33" spans="1:4" x14ac:dyDescent="0.35">
      <c r="A33" s="14"/>
      <c r="B33" s="15"/>
      <c r="C33" s="15"/>
      <c r="D33" s="15">
        <f>IF(B33=10,40,IF(B33&gt;=9,30,IF(B33&gt;=8,20,0)))</f>
        <v>0</v>
      </c>
    </row>
    <row r="34" spans="1:4" x14ac:dyDescent="0.35">
      <c r="A34" s="14"/>
      <c r="B34" s="15"/>
      <c r="C34" s="15"/>
      <c r="D34" s="15">
        <f>IF(B34=10,40,IF(B34&gt;=9,30,IF(B34&gt;=8,20,0)))</f>
        <v>0</v>
      </c>
    </row>
    <row r="35" spans="1:4" x14ac:dyDescent="0.35">
      <c r="A35" s="14"/>
      <c r="B35" s="15"/>
      <c r="C35" s="15"/>
      <c r="D35" s="15">
        <f>IF(B35=10,40,IF(B35&gt;=9,30,IF(B35&gt;=8,20,0)))</f>
        <v>0</v>
      </c>
    </row>
    <row r="36" spans="1:4" x14ac:dyDescent="0.35">
      <c r="A36" s="14"/>
      <c r="B36" s="15"/>
      <c r="C36" s="15"/>
      <c r="D36" s="15">
        <f>IF(B36=10,40,IF(B36&gt;=9,30,IF(B36&gt;=8,20,0)))</f>
        <v>0</v>
      </c>
    </row>
    <row r="37" spans="1:4" x14ac:dyDescent="0.35">
      <c r="A37" s="14"/>
      <c r="B37" s="15"/>
      <c r="C37" s="15"/>
      <c r="D37" s="15">
        <f>IF(B37=10,40,IF(B37&gt;=9,30,IF(B37&gt;=8,20,0)))</f>
        <v>0</v>
      </c>
    </row>
    <row r="38" spans="1:4" x14ac:dyDescent="0.35">
      <c r="A38" s="14"/>
      <c r="B38" s="15"/>
      <c r="C38" s="15"/>
      <c r="D38" s="15">
        <f>IF(B38=10,40,IF(B38&gt;=9,30,IF(B38&gt;=8,20,0)))</f>
        <v>0</v>
      </c>
    </row>
    <row r="39" spans="1:4" x14ac:dyDescent="0.35">
      <c r="A39" s="14"/>
      <c r="B39" s="15"/>
      <c r="C39" s="15"/>
      <c r="D39" s="15">
        <f>IF(B39=10,40,IF(B39&gt;=9,30,IF(B39&gt;=8,20,0)))</f>
        <v>0</v>
      </c>
    </row>
    <row r="40" spans="1:4" x14ac:dyDescent="0.35">
      <c r="A40" s="14"/>
      <c r="B40" s="15"/>
      <c r="C40" s="15"/>
      <c r="D40" s="15">
        <f>IF(B40=10,40,IF(B40&gt;=9,30,IF(B40&gt;=8,20,0)))</f>
        <v>0</v>
      </c>
    </row>
  </sheetData>
  <dataValidations count="1">
    <dataValidation type="whole" allowBlank="1" showInputMessage="1" showErrorMessage="1" sqref="B2:B40" xr:uid="{EFA2E822-0FE7-49C9-BB51-EF0AA4B6C3C0}">
      <formula1>0</formula1>
      <formula2>10</formula2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94F3F-3195-449A-88E4-242FFD880A82}">
  <dimension ref="A1:N32"/>
  <sheetViews>
    <sheetView workbookViewId="0"/>
  </sheetViews>
  <sheetFormatPr defaultRowHeight="14.5" x14ac:dyDescent="0.35"/>
  <cols>
    <col min="1" max="1" width="9.36328125" bestFit="1" customWidth="1"/>
    <col min="2" max="2" width="11.453125" bestFit="1" customWidth="1"/>
    <col min="3" max="3" width="13.453125" bestFit="1" customWidth="1"/>
    <col min="4" max="4" width="9.08984375" bestFit="1" customWidth="1"/>
    <col min="5" max="5" width="9.36328125" bestFit="1" customWidth="1"/>
    <col min="6" max="6" width="9.54296875" bestFit="1" customWidth="1"/>
    <col min="7" max="7" width="12" bestFit="1" customWidth="1"/>
    <col min="8" max="8" width="9.81640625" bestFit="1" customWidth="1"/>
    <col min="9" max="9" width="10.54296875" bestFit="1" customWidth="1"/>
    <col min="10" max="10" width="6.1796875" bestFit="1" customWidth="1"/>
    <col min="11" max="11" width="12.36328125" bestFit="1" customWidth="1"/>
    <col min="12" max="12" width="10.26953125" bestFit="1" customWidth="1"/>
    <col min="13" max="13" width="11.54296875" bestFit="1" customWidth="1"/>
    <col min="14" max="14" width="8.08984375" bestFit="1" customWidth="1"/>
  </cols>
  <sheetData>
    <row r="1" spans="1:14" ht="24" customHeight="1" x14ac:dyDescent="0.35">
      <c r="A1" s="11" t="s">
        <v>14</v>
      </c>
      <c r="B1" s="11" t="s">
        <v>15</v>
      </c>
      <c r="C1" s="11" t="s">
        <v>16</v>
      </c>
      <c r="D1" s="11" t="s">
        <v>17</v>
      </c>
      <c r="E1" s="11" t="s">
        <v>18</v>
      </c>
      <c r="F1" s="11" t="s">
        <v>19</v>
      </c>
      <c r="G1" s="11" t="s">
        <v>20</v>
      </c>
      <c r="H1" s="11" t="s">
        <v>21</v>
      </c>
      <c r="I1" s="11" t="s">
        <v>22</v>
      </c>
      <c r="J1" s="11" t="s">
        <v>23</v>
      </c>
      <c r="K1" s="11" t="s">
        <v>24</v>
      </c>
      <c r="L1" s="11" t="s">
        <v>25</v>
      </c>
      <c r="M1" s="11" t="s">
        <v>26</v>
      </c>
      <c r="N1" s="11" t="s">
        <v>27</v>
      </c>
    </row>
    <row r="2" spans="1:14" x14ac:dyDescent="0.35">
      <c r="A2" s="12">
        <f ca="1">DATE(YEAR(TODAY()),MONTH(TODAY()),ROW()-1)</f>
        <v>46113</v>
      </c>
      <c r="B2" s="4"/>
      <c r="C2" s="4"/>
      <c r="D2" s="4"/>
      <c r="E2" s="4"/>
      <c r="F2" s="4"/>
      <c r="G2" s="4"/>
      <c r="H2" s="13">
        <f>IF(B2="Sim",2,0)+IF(C2="Sim",1,0)+IF(D2="Sim",1,0)+IF(E2="Sim",2,0)+IF(F2="Sim",1,0)+IF(G2="Sim",2,0)</f>
        <v>0</v>
      </c>
      <c r="I2" s="13">
        <f>IF(COUNTIF(B2,"Sim")=6,1,0)</f>
        <v>0</v>
      </c>
      <c r="J2" s="13">
        <f>IF(I2=1,1,0)</f>
        <v>0</v>
      </c>
      <c r="K2" s="13">
        <f>IF(J2=14,40,IF(J2=7,15,IF(J2=3,5,0)))</f>
        <v>0</v>
      </c>
      <c r="L2" s="13">
        <f>IF(COUNTIF(B2,"Sim")=0,-2,0)</f>
        <v>-2</v>
      </c>
      <c r="M2" s="13"/>
      <c r="N2" s="13">
        <f>H2+K2+L2</f>
        <v>-2</v>
      </c>
    </row>
    <row r="3" spans="1:14" x14ac:dyDescent="0.35">
      <c r="A3" s="12">
        <f ca="1">DATE(YEAR(TODAY()),MONTH(TODAY()),ROW()-1)</f>
        <v>46114</v>
      </c>
      <c r="B3" s="4"/>
      <c r="C3" s="4"/>
      <c r="D3" s="4"/>
      <c r="E3" s="4"/>
      <c r="F3" s="4"/>
      <c r="G3" s="4"/>
      <c r="H3" s="13">
        <f>IF(B3="Sim",2,0)+IF(C3="Sim",1,0)+IF(D3="Sim",1,0)+IF(E3="Sim",2,0)+IF(F3="Sim",1,0)+IF(G3="Sim",2,0)</f>
        <v>0</v>
      </c>
      <c r="I3" s="13">
        <f>IF(COUNTIF(B3,"Sim")=6,1,0)</f>
        <v>0</v>
      </c>
      <c r="J3" s="13">
        <f>IF(I3=1,J2+1,0)</f>
        <v>0</v>
      </c>
      <c r="K3" s="13">
        <f>IF(J3=14,40,IF(J3=7,15,IF(J3=3,5,0)))</f>
        <v>0</v>
      </c>
      <c r="L3" s="13">
        <f>IF(COUNTIF(B3,"Sim")=0,-2,0)</f>
        <v>-2</v>
      </c>
      <c r="M3" s="13"/>
      <c r="N3" s="13">
        <f>H3+K3+L3</f>
        <v>-2</v>
      </c>
    </row>
    <row r="4" spans="1:14" x14ac:dyDescent="0.35">
      <c r="A4" s="12">
        <f ca="1">DATE(YEAR(TODAY()),MONTH(TODAY()),ROW()-1)</f>
        <v>46115</v>
      </c>
      <c r="B4" s="4"/>
      <c r="C4" s="4"/>
      <c r="D4" s="4"/>
      <c r="E4" s="4"/>
      <c r="F4" s="4"/>
      <c r="G4" s="4"/>
      <c r="H4" s="13">
        <f>IF(B4="Sim",2,0)+IF(C4="Sim",1,0)+IF(D4="Sim",1,0)+IF(E4="Sim",2,0)+IF(F4="Sim",1,0)+IF(G4="Sim",2,0)</f>
        <v>0</v>
      </c>
      <c r="I4" s="13">
        <f>IF(COUNTIF(B4,"Sim")=6,1,0)</f>
        <v>0</v>
      </c>
      <c r="J4" s="13">
        <f>IF(I4=1,J3+1,0)</f>
        <v>0</v>
      </c>
      <c r="K4" s="13">
        <f>IF(J4=14,40,IF(J4=7,15,IF(J4=3,5,0)))</f>
        <v>0</v>
      </c>
      <c r="L4" s="13">
        <f>IF(COUNTIF(B4,"Sim")=0,-2,0)</f>
        <v>-2</v>
      </c>
      <c r="M4" s="13"/>
      <c r="N4" s="13">
        <f>H4+K4+L4</f>
        <v>-2</v>
      </c>
    </row>
    <row r="5" spans="1:14" x14ac:dyDescent="0.35">
      <c r="A5" s="12">
        <f ca="1">DATE(YEAR(TODAY()),MONTH(TODAY()),ROW()-1)</f>
        <v>46116</v>
      </c>
      <c r="B5" s="4"/>
      <c r="C5" s="4"/>
      <c r="D5" s="4"/>
      <c r="E5" s="4"/>
      <c r="F5" s="4"/>
      <c r="G5" s="4"/>
      <c r="H5" s="13">
        <f>IF(B5="Sim",2,0)+IF(C5="Sim",1,0)+IF(D5="Sim",1,0)+IF(E5="Sim",2,0)+IF(F5="Sim",1,0)+IF(G5="Sim",2,0)</f>
        <v>0</v>
      </c>
      <c r="I5" s="13">
        <f>IF(COUNTIF(B5,"Sim")=6,1,0)</f>
        <v>0</v>
      </c>
      <c r="J5" s="13">
        <f>IF(I5=1,J4+1,0)</f>
        <v>0</v>
      </c>
      <c r="K5" s="13">
        <f>IF(J5=14,40,IF(J5=7,15,IF(J5=3,5,0)))</f>
        <v>0</v>
      </c>
      <c r="L5" s="13">
        <f>IF(COUNTIF(B5,"Sim")=0,-2,0)</f>
        <v>-2</v>
      </c>
      <c r="M5" s="13"/>
      <c r="N5" s="13">
        <f>H5+K5+L5</f>
        <v>-2</v>
      </c>
    </row>
    <row r="6" spans="1:14" x14ac:dyDescent="0.35">
      <c r="A6" s="12">
        <f ca="1">DATE(YEAR(TODAY()),MONTH(TODAY()),ROW()-1)</f>
        <v>46117</v>
      </c>
      <c r="B6" s="4"/>
      <c r="C6" s="4"/>
      <c r="D6" s="4"/>
      <c r="E6" s="4"/>
      <c r="F6" s="4"/>
      <c r="G6" s="4"/>
      <c r="H6" s="13">
        <f>IF(B6="Sim",2,0)+IF(C6="Sim",1,0)+IF(D6="Sim",1,0)+IF(E6="Sim",2,0)+IF(F6="Sim",1,0)+IF(G6="Sim",2,0)</f>
        <v>0</v>
      </c>
      <c r="I6" s="13">
        <f>IF(COUNTIF(B6,"Sim")=6,1,0)</f>
        <v>0</v>
      </c>
      <c r="J6" s="13">
        <f>IF(I6=1,J5+1,0)</f>
        <v>0</v>
      </c>
      <c r="K6" s="13">
        <f>IF(J6=14,40,IF(J6=7,15,IF(J6=3,5,0)))</f>
        <v>0</v>
      </c>
      <c r="L6" s="13">
        <f>IF(COUNTIF(B6,"Sim")=0,-2,0)</f>
        <v>-2</v>
      </c>
      <c r="M6" s="13"/>
      <c r="N6" s="13">
        <f>H6+K6+L6</f>
        <v>-2</v>
      </c>
    </row>
    <row r="7" spans="1:14" x14ac:dyDescent="0.35">
      <c r="A7" s="12">
        <f ca="1">DATE(YEAR(TODAY()),MONTH(TODAY()),ROW()-1)</f>
        <v>46118</v>
      </c>
      <c r="B7" s="4"/>
      <c r="C7" s="4"/>
      <c r="D7" s="4"/>
      <c r="E7" s="4"/>
      <c r="F7" s="4"/>
      <c r="G7" s="4"/>
      <c r="H7" s="13">
        <f>IF(B7="Sim",2,0)+IF(C7="Sim",1,0)+IF(D7="Sim",1,0)+IF(E7="Sim",2,0)+IF(F7="Sim",1,0)+IF(G7="Sim",2,0)</f>
        <v>0</v>
      </c>
      <c r="I7" s="13">
        <f>IF(COUNTIF(B7,"Sim")=6,1,0)</f>
        <v>0</v>
      </c>
      <c r="J7" s="13">
        <f>IF(I7=1,J6+1,0)</f>
        <v>0</v>
      </c>
      <c r="K7" s="13">
        <f>IF(J7=14,40,IF(J7=7,15,IF(J7=3,5,0)))</f>
        <v>0</v>
      </c>
      <c r="L7" s="13">
        <f>IF(COUNTIF(B7,"Sim")=0,-2,0)</f>
        <v>-2</v>
      </c>
      <c r="M7" s="13"/>
      <c r="N7" s="13">
        <f>H7+K7+L7</f>
        <v>-2</v>
      </c>
    </row>
    <row r="8" spans="1:14" x14ac:dyDescent="0.35">
      <c r="A8" s="12">
        <f ca="1">DATE(YEAR(TODAY()),MONTH(TODAY()),ROW()-1)</f>
        <v>46119</v>
      </c>
      <c r="B8" s="4"/>
      <c r="C8" s="4"/>
      <c r="D8" s="4"/>
      <c r="E8" s="4"/>
      <c r="F8" s="4"/>
      <c r="G8" s="4"/>
      <c r="H8" s="13">
        <f>IF(B8="Sim",2,0)+IF(C8="Sim",1,0)+IF(D8="Sim",1,0)+IF(E8="Sim",2,0)+IF(F8="Sim",1,0)+IF(G8="Sim",2,0)</f>
        <v>0</v>
      </c>
      <c r="I8" s="13">
        <f>IF(COUNTIF(B8,"Sim")=6,1,0)</f>
        <v>0</v>
      </c>
      <c r="J8" s="13">
        <f>IF(I8=1,J7+1,0)</f>
        <v>0</v>
      </c>
      <c r="K8" s="13">
        <f>IF(J8=14,40,IF(J8=7,15,IF(J8=3,5,0)))</f>
        <v>0</v>
      </c>
      <c r="L8" s="13">
        <f>IF(COUNTIF(B8,"Sim")=0,-2,0)</f>
        <v>-2</v>
      </c>
      <c r="M8" s="13"/>
      <c r="N8" s="13">
        <f>H8+K8+L8</f>
        <v>-2</v>
      </c>
    </row>
    <row r="9" spans="1:14" x14ac:dyDescent="0.35">
      <c r="A9" s="12">
        <f ca="1">DATE(YEAR(TODAY()),MONTH(TODAY()),ROW()-1)</f>
        <v>46120</v>
      </c>
      <c r="B9" s="4"/>
      <c r="C9" s="4"/>
      <c r="D9" s="4"/>
      <c r="E9" s="4"/>
      <c r="F9" s="4"/>
      <c r="G9" s="4"/>
      <c r="H9" s="13">
        <f>IF(B9="Sim",2,0)+IF(C9="Sim",1,0)+IF(D9="Sim",1,0)+IF(E9="Sim",2,0)+IF(F9="Sim",1,0)+IF(G9="Sim",2,0)</f>
        <v>0</v>
      </c>
      <c r="I9" s="13">
        <f>IF(COUNTIF(B9,"Sim")=6,1,0)</f>
        <v>0</v>
      </c>
      <c r="J9" s="13">
        <f>IF(I9=1,J8+1,0)</f>
        <v>0</v>
      </c>
      <c r="K9" s="13">
        <f>IF(J9=14,40,IF(J9=7,15,IF(J9=3,5,0)))</f>
        <v>0</v>
      </c>
      <c r="L9" s="13">
        <f>IF(COUNTIF(B9,"Sim")=0,-2,0)</f>
        <v>-2</v>
      </c>
      <c r="M9" s="13"/>
      <c r="N9" s="13">
        <f>H9+K9+L9</f>
        <v>-2</v>
      </c>
    </row>
    <row r="10" spans="1:14" x14ac:dyDescent="0.35">
      <c r="A10" s="12">
        <f ca="1">DATE(YEAR(TODAY()),MONTH(TODAY()),ROW()-1)</f>
        <v>46121</v>
      </c>
      <c r="B10" s="4"/>
      <c r="C10" s="4"/>
      <c r="D10" s="4"/>
      <c r="E10" s="4"/>
      <c r="F10" s="4"/>
      <c r="G10" s="4"/>
      <c r="H10" s="13">
        <f>IF(B10="Sim",2,0)+IF(C10="Sim",1,0)+IF(D10="Sim",1,0)+IF(E10="Sim",2,0)+IF(F10="Sim",1,0)+IF(G10="Sim",2,0)</f>
        <v>0</v>
      </c>
      <c r="I10" s="13">
        <f>IF(COUNTIF(B10,"Sim")=6,1,0)</f>
        <v>0</v>
      </c>
      <c r="J10" s="13">
        <f>IF(I10=1,J9+1,0)</f>
        <v>0</v>
      </c>
      <c r="K10" s="13">
        <f>IF(J10=14,40,IF(J10=7,15,IF(J10=3,5,0)))</f>
        <v>0</v>
      </c>
      <c r="L10" s="13">
        <f>IF(COUNTIF(B10,"Sim")=0,-2,0)</f>
        <v>-2</v>
      </c>
      <c r="M10" s="13"/>
      <c r="N10" s="13">
        <f>H10+K10+L10</f>
        <v>-2</v>
      </c>
    </row>
    <row r="11" spans="1:14" x14ac:dyDescent="0.35">
      <c r="A11" s="12">
        <f ca="1">DATE(YEAR(TODAY()),MONTH(TODAY()),ROW()-1)</f>
        <v>46122</v>
      </c>
      <c r="B11" s="4"/>
      <c r="C11" s="4"/>
      <c r="D11" s="4"/>
      <c r="E11" s="4"/>
      <c r="F11" s="4"/>
      <c r="G11" s="4"/>
      <c r="H11" s="13">
        <f>IF(B11="Sim",2,0)+IF(C11="Sim",1,0)+IF(D11="Sim",1,0)+IF(E11="Sim",2,0)+IF(F11="Sim",1,0)+IF(G11="Sim",2,0)</f>
        <v>0</v>
      </c>
      <c r="I11" s="13">
        <f>IF(COUNTIF(B11,"Sim")=6,1,0)</f>
        <v>0</v>
      </c>
      <c r="J11" s="13">
        <f>IF(I11=1,J10+1,0)</f>
        <v>0</v>
      </c>
      <c r="K11" s="13">
        <f>IF(J11=14,40,IF(J11=7,15,IF(J11=3,5,0)))</f>
        <v>0</v>
      </c>
      <c r="L11" s="13">
        <f>IF(COUNTIF(B11,"Sim")=0,-2,0)</f>
        <v>-2</v>
      </c>
      <c r="M11" s="13"/>
      <c r="N11" s="13">
        <f>H11+K11+L11</f>
        <v>-2</v>
      </c>
    </row>
    <row r="12" spans="1:14" x14ac:dyDescent="0.35">
      <c r="A12" s="12">
        <f ca="1">DATE(YEAR(TODAY()),MONTH(TODAY()),ROW()-1)</f>
        <v>46123</v>
      </c>
      <c r="B12" s="4"/>
      <c r="C12" s="4"/>
      <c r="D12" s="4"/>
      <c r="E12" s="4"/>
      <c r="F12" s="4"/>
      <c r="G12" s="4"/>
      <c r="H12" s="13">
        <f>IF(B12="Sim",2,0)+IF(C12="Sim",1,0)+IF(D12="Sim",1,0)+IF(E12="Sim",2,0)+IF(F12="Sim",1,0)+IF(G12="Sim",2,0)</f>
        <v>0</v>
      </c>
      <c r="I12" s="13">
        <f>IF(COUNTIF(B12,"Sim")=6,1,0)</f>
        <v>0</v>
      </c>
      <c r="J12" s="13">
        <f>IF(I12=1,J11+1,0)</f>
        <v>0</v>
      </c>
      <c r="K12" s="13">
        <f>IF(J12=14,40,IF(J12=7,15,IF(J12=3,5,0)))</f>
        <v>0</v>
      </c>
      <c r="L12" s="13">
        <f>IF(COUNTIF(B12,"Sim")=0,-2,0)</f>
        <v>-2</v>
      </c>
      <c r="M12" s="13"/>
      <c r="N12" s="13">
        <f>H12+K12+L12</f>
        <v>-2</v>
      </c>
    </row>
    <row r="13" spans="1:14" x14ac:dyDescent="0.35">
      <c r="A13" s="12">
        <f ca="1">DATE(YEAR(TODAY()),MONTH(TODAY()),ROW()-1)</f>
        <v>46124</v>
      </c>
      <c r="B13" s="4"/>
      <c r="C13" s="4"/>
      <c r="D13" s="4"/>
      <c r="E13" s="4"/>
      <c r="F13" s="4"/>
      <c r="G13" s="4"/>
      <c r="H13" s="13">
        <f>IF(B13="Sim",2,0)+IF(C13="Sim",1,0)+IF(D13="Sim",1,0)+IF(E13="Sim",2,0)+IF(F13="Sim",1,0)+IF(G13="Sim",2,0)</f>
        <v>0</v>
      </c>
      <c r="I13" s="13">
        <f>IF(COUNTIF(B13,"Sim")=6,1,0)</f>
        <v>0</v>
      </c>
      <c r="J13" s="13">
        <f>IF(I13=1,J12+1,0)</f>
        <v>0</v>
      </c>
      <c r="K13" s="13">
        <f>IF(J13=14,40,IF(J13=7,15,IF(J13=3,5,0)))</f>
        <v>0</v>
      </c>
      <c r="L13" s="13">
        <f>IF(COUNTIF(B13,"Sim")=0,-2,0)</f>
        <v>-2</v>
      </c>
      <c r="M13" s="13"/>
      <c r="N13" s="13">
        <f>H13+K13+L13</f>
        <v>-2</v>
      </c>
    </row>
    <row r="14" spans="1:14" x14ac:dyDescent="0.35">
      <c r="A14" s="12">
        <f ca="1">DATE(YEAR(TODAY()),MONTH(TODAY()),ROW()-1)</f>
        <v>46125</v>
      </c>
      <c r="B14" s="4"/>
      <c r="C14" s="4"/>
      <c r="D14" s="4"/>
      <c r="E14" s="4"/>
      <c r="F14" s="4"/>
      <c r="G14" s="4"/>
      <c r="H14" s="13">
        <f>IF(B14="Sim",2,0)+IF(C14="Sim",1,0)+IF(D14="Sim",1,0)+IF(E14="Sim",2,0)+IF(F14="Sim",1,0)+IF(G14="Sim",2,0)</f>
        <v>0</v>
      </c>
      <c r="I14" s="13">
        <f>IF(COUNTIF(B14,"Sim")=6,1,0)</f>
        <v>0</v>
      </c>
      <c r="J14" s="13">
        <f>IF(I14=1,J13+1,0)</f>
        <v>0</v>
      </c>
      <c r="K14" s="13">
        <f>IF(J14=14,40,IF(J14=7,15,IF(J14=3,5,0)))</f>
        <v>0</v>
      </c>
      <c r="L14" s="13">
        <f>IF(COUNTIF(B14,"Sim")=0,-2,0)</f>
        <v>-2</v>
      </c>
      <c r="M14" s="13"/>
      <c r="N14" s="13">
        <f>H14+K14+L14</f>
        <v>-2</v>
      </c>
    </row>
    <row r="15" spans="1:14" x14ac:dyDescent="0.35">
      <c r="A15" s="12">
        <f ca="1">DATE(YEAR(TODAY()),MONTH(TODAY()),ROW()-1)</f>
        <v>46126</v>
      </c>
      <c r="B15" s="4"/>
      <c r="C15" s="4"/>
      <c r="D15" s="4"/>
      <c r="E15" s="4"/>
      <c r="F15" s="4"/>
      <c r="G15" s="4"/>
      <c r="H15" s="13">
        <f>IF(B15="Sim",2,0)+IF(C15="Sim",1,0)+IF(D15="Sim",1,0)+IF(E15="Sim",2,0)+IF(F15="Sim",1,0)+IF(G15="Sim",2,0)</f>
        <v>0</v>
      </c>
      <c r="I15" s="13">
        <f>IF(COUNTIF(B15,"Sim")=6,1,0)</f>
        <v>0</v>
      </c>
      <c r="J15" s="13">
        <f>IF(I15=1,J14+1,0)</f>
        <v>0</v>
      </c>
      <c r="K15" s="13">
        <f>IF(J15=14,40,IF(J15=7,15,IF(J15=3,5,0)))</f>
        <v>0</v>
      </c>
      <c r="L15" s="13">
        <f>IF(COUNTIF(B15,"Sim")=0,-2,0)</f>
        <v>-2</v>
      </c>
      <c r="M15" s="13"/>
      <c r="N15" s="13">
        <f>H15+K15+L15</f>
        <v>-2</v>
      </c>
    </row>
    <row r="16" spans="1:14" x14ac:dyDescent="0.35">
      <c r="A16" s="12">
        <f ca="1">DATE(YEAR(TODAY()),MONTH(TODAY()),ROW()-1)</f>
        <v>46127</v>
      </c>
      <c r="B16" s="4"/>
      <c r="C16" s="4"/>
      <c r="D16" s="4"/>
      <c r="E16" s="4"/>
      <c r="F16" s="4"/>
      <c r="G16" s="4"/>
      <c r="H16" s="13">
        <f>IF(B16="Sim",2,0)+IF(C16="Sim",1,0)+IF(D16="Sim",1,0)+IF(E16="Sim",2,0)+IF(F16="Sim",1,0)+IF(G16="Sim",2,0)</f>
        <v>0</v>
      </c>
      <c r="I16" s="13">
        <f>IF(COUNTIF(B16,"Sim")=6,1,0)</f>
        <v>0</v>
      </c>
      <c r="J16" s="13">
        <f>IF(I16=1,J15+1,0)</f>
        <v>0</v>
      </c>
      <c r="K16" s="13">
        <f>IF(J16=14,40,IF(J16=7,15,IF(J16=3,5,0)))</f>
        <v>0</v>
      </c>
      <c r="L16" s="13">
        <f>IF(COUNTIF(B16,"Sim")=0,-2,0)</f>
        <v>-2</v>
      </c>
      <c r="M16" s="13"/>
      <c r="N16" s="13">
        <f>H16+K16+L16</f>
        <v>-2</v>
      </c>
    </row>
    <row r="17" spans="1:14" x14ac:dyDescent="0.35">
      <c r="A17" s="12">
        <f ca="1">DATE(YEAR(TODAY()),MONTH(TODAY()),ROW()-1)</f>
        <v>46128</v>
      </c>
      <c r="B17" s="4"/>
      <c r="C17" s="4"/>
      <c r="D17" s="4"/>
      <c r="E17" s="4"/>
      <c r="F17" s="4"/>
      <c r="G17" s="4"/>
      <c r="H17" s="13">
        <f>IF(B17="Sim",2,0)+IF(C17="Sim",1,0)+IF(D17="Sim",1,0)+IF(E17="Sim",2,0)+IF(F17="Sim",1,0)+IF(G17="Sim",2,0)</f>
        <v>0</v>
      </c>
      <c r="I17" s="13">
        <f>IF(COUNTIF(B17,"Sim")=6,1,0)</f>
        <v>0</v>
      </c>
      <c r="J17" s="13">
        <f>IF(I17=1,J16+1,0)</f>
        <v>0</v>
      </c>
      <c r="K17" s="13">
        <f>IF(J17=14,40,IF(J17=7,15,IF(J17=3,5,0)))</f>
        <v>0</v>
      </c>
      <c r="L17" s="13">
        <f>IF(COUNTIF(B17,"Sim")=0,-2,0)</f>
        <v>-2</v>
      </c>
      <c r="M17" s="13"/>
      <c r="N17" s="13">
        <f>H17+K17+L17</f>
        <v>-2</v>
      </c>
    </row>
    <row r="18" spans="1:14" x14ac:dyDescent="0.35">
      <c r="A18" s="12">
        <f ca="1">DATE(YEAR(TODAY()),MONTH(TODAY()),ROW()-1)</f>
        <v>46129</v>
      </c>
      <c r="B18" s="4"/>
      <c r="C18" s="4"/>
      <c r="D18" s="4"/>
      <c r="E18" s="4"/>
      <c r="F18" s="4"/>
      <c r="G18" s="4"/>
      <c r="H18" s="13">
        <f>IF(B18="Sim",2,0)+IF(C18="Sim",1,0)+IF(D18="Sim",1,0)+IF(E18="Sim",2,0)+IF(F18="Sim",1,0)+IF(G18="Sim",2,0)</f>
        <v>0</v>
      </c>
      <c r="I18" s="13">
        <f>IF(COUNTIF(B18,"Sim")=6,1,0)</f>
        <v>0</v>
      </c>
      <c r="J18" s="13">
        <f>IF(I18=1,J17+1,0)</f>
        <v>0</v>
      </c>
      <c r="K18" s="13">
        <f>IF(J18=14,40,IF(J18=7,15,IF(J18=3,5,0)))</f>
        <v>0</v>
      </c>
      <c r="L18" s="13">
        <f>IF(COUNTIF(B18,"Sim")=0,-2,0)</f>
        <v>-2</v>
      </c>
      <c r="M18" s="13"/>
      <c r="N18" s="13">
        <f>H18+K18+L18</f>
        <v>-2</v>
      </c>
    </row>
    <row r="19" spans="1:14" x14ac:dyDescent="0.35">
      <c r="A19" s="12">
        <f ca="1">DATE(YEAR(TODAY()),MONTH(TODAY()),ROW()-1)</f>
        <v>46130</v>
      </c>
      <c r="B19" s="4"/>
      <c r="C19" s="4"/>
      <c r="D19" s="4"/>
      <c r="E19" s="4"/>
      <c r="F19" s="4"/>
      <c r="G19" s="4"/>
      <c r="H19" s="13">
        <f>IF(B19="Sim",2,0)+IF(C19="Sim",1,0)+IF(D19="Sim",1,0)+IF(E19="Sim",2,0)+IF(F19="Sim",1,0)+IF(G19="Sim",2,0)</f>
        <v>0</v>
      </c>
      <c r="I19" s="13">
        <f>IF(COUNTIF(B19,"Sim")=6,1,0)</f>
        <v>0</v>
      </c>
      <c r="J19" s="13">
        <f>IF(I19=1,J18+1,0)</f>
        <v>0</v>
      </c>
      <c r="K19" s="13">
        <f>IF(J19=14,40,IF(J19=7,15,IF(J19=3,5,0)))</f>
        <v>0</v>
      </c>
      <c r="L19" s="13">
        <f>IF(COUNTIF(B19,"Sim")=0,-2,0)</f>
        <v>-2</v>
      </c>
      <c r="M19" s="13"/>
      <c r="N19" s="13">
        <f>H19+K19+L19</f>
        <v>-2</v>
      </c>
    </row>
    <row r="20" spans="1:14" x14ac:dyDescent="0.35">
      <c r="A20" s="12">
        <f ca="1">DATE(YEAR(TODAY()),MONTH(TODAY()),ROW()-1)</f>
        <v>46131</v>
      </c>
      <c r="B20" s="4"/>
      <c r="C20" s="4"/>
      <c r="D20" s="4"/>
      <c r="E20" s="4"/>
      <c r="F20" s="4"/>
      <c r="G20" s="4"/>
      <c r="H20" s="13">
        <f>IF(B20="Sim",2,0)+IF(C20="Sim",1,0)+IF(D20="Sim",1,0)+IF(E20="Sim",2,0)+IF(F20="Sim",1,0)+IF(G20="Sim",2,0)</f>
        <v>0</v>
      </c>
      <c r="I20" s="13">
        <f>IF(COUNTIF(B20,"Sim")=6,1,0)</f>
        <v>0</v>
      </c>
      <c r="J20" s="13">
        <f>IF(I20=1,J19+1,0)</f>
        <v>0</v>
      </c>
      <c r="K20" s="13">
        <f>IF(J20=14,40,IF(J20=7,15,IF(J20=3,5,0)))</f>
        <v>0</v>
      </c>
      <c r="L20" s="13">
        <f>IF(COUNTIF(B20,"Sim")=0,-2,0)</f>
        <v>-2</v>
      </c>
      <c r="M20" s="13"/>
      <c r="N20" s="13">
        <f>H20+K20+L20</f>
        <v>-2</v>
      </c>
    </row>
    <row r="21" spans="1:14" x14ac:dyDescent="0.35">
      <c r="A21" s="12">
        <f ca="1">DATE(YEAR(TODAY()),MONTH(TODAY()),ROW()-1)</f>
        <v>46132</v>
      </c>
      <c r="B21" s="4"/>
      <c r="C21" s="4"/>
      <c r="D21" s="4"/>
      <c r="E21" s="4"/>
      <c r="F21" s="4"/>
      <c r="G21" s="4"/>
      <c r="H21" s="13">
        <f>IF(B21="Sim",2,0)+IF(C21="Sim",1,0)+IF(D21="Sim",1,0)+IF(E21="Sim",2,0)+IF(F21="Sim",1,0)+IF(G21="Sim",2,0)</f>
        <v>0</v>
      </c>
      <c r="I21" s="13">
        <f>IF(COUNTIF(B21,"Sim")=6,1,0)</f>
        <v>0</v>
      </c>
      <c r="J21" s="13">
        <f>IF(I21=1,J20+1,0)</f>
        <v>0</v>
      </c>
      <c r="K21" s="13">
        <f>IF(J21=14,40,IF(J21=7,15,IF(J21=3,5,0)))</f>
        <v>0</v>
      </c>
      <c r="L21" s="13">
        <f>IF(COUNTIF(B21,"Sim")=0,-2,0)</f>
        <v>-2</v>
      </c>
      <c r="M21" s="13"/>
      <c r="N21" s="13">
        <f>H21+K21+L21</f>
        <v>-2</v>
      </c>
    </row>
    <row r="22" spans="1:14" x14ac:dyDescent="0.35">
      <c r="A22" s="12">
        <f ca="1">DATE(YEAR(TODAY()),MONTH(TODAY()),ROW()-1)</f>
        <v>46133</v>
      </c>
      <c r="B22" s="4"/>
      <c r="C22" s="4"/>
      <c r="D22" s="4"/>
      <c r="E22" s="4"/>
      <c r="F22" s="4"/>
      <c r="G22" s="4"/>
      <c r="H22" s="13">
        <f>IF(B22="Sim",2,0)+IF(C22="Sim",1,0)+IF(D22="Sim",1,0)+IF(E22="Sim",2,0)+IF(F22="Sim",1,0)+IF(G22="Sim",2,0)</f>
        <v>0</v>
      </c>
      <c r="I22" s="13">
        <f>IF(COUNTIF(B22,"Sim")=6,1,0)</f>
        <v>0</v>
      </c>
      <c r="J22" s="13">
        <f>IF(I22=1,J21+1,0)</f>
        <v>0</v>
      </c>
      <c r="K22" s="13">
        <f>IF(J22=14,40,IF(J22=7,15,IF(J22=3,5,0)))</f>
        <v>0</v>
      </c>
      <c r="L22" s="13">
        <f>IF(COUNTIF(B22,"Sim")=0,-2,0)</f>
        <v>-2</v>
      </c>
      <c r="M22" s="13"/>
      <c r="N22" s="13">
        <f>H22+K22+L22</f>
        <v>-2</v>
      </c>
    </row>
    <row r="23" spans="1:14" x14ac:dyDescent="0.35">
      <c r="A23" s="12">
        <f ca="1">DATE(YEAR(TODAY()),MONTH(TODAY()),ROW()-1)</f>
        <v>46134</v>
      </c>
      <c r="B23" s="4"/>
      <c r="C23" s="4"/>
      <c r="D23" s="4"/>
      <c r="E23" s="4"/>
      <c r="F23" s="4"/>
      <c r="G23" s="4"/>
      <c r="H23" s="13">
        <f>IF(B23="Sim",2,0)+IF(C23="Sim",1,0)+IF(D23="Sim",1,0)+IF(E23="Sim",2,0)+IF(F23="Sim",1,0)+IF(G23="Sim",2,0)</f>
        <v>0</v>
      </c>
      <c r="I23" s="13">
        <f>IF(COUNTIF(B23,"Sim")=6,1,0)</f>
        <v>0</v>
      </c>
      <c r="J23" s="13">
        <f>IF(I23=1,J22+1,0)</f>
        <v>0</v>
      </c>
      <c r="K23" s="13">
        <f>IF(J23=14,40,IF(J23=7,15,IF(J23=3,5,0)))</f>
        <v>0</v>
      </c>
      <c r="L23" s="13">
        <f>IF(COUNTIF(B23,"Sim")=0,-2,0)</f>
        <v>-2</v>
      </c>
      <c r="M23" s="13"/>
      <c r="N23" s="13">
        <f>H23+K23+L23</f>
        <v>-2</v>
      </c>
    </row>
    <row r="24" spans="1:14" x14ac:dyDescent="0.35">
      <c r="A24" s="12">
        <f ca="1">DATE(YEAR(TODAY()),MONTH(TODAY()),ROW()-1)</f>
        <v>46135</v>
      </c>
      <c r="B24" s="4"/>
      <c r="C24" s="4"/>
      <c r="D24" s="4"/>
      <c r="E24" s="4"/>
      <c r="F24" s="4"/>
      <c r="G24" s="4"/>
      <c r="H24" s="13">
        <f>IF(B24="Sim",2,0)+IF(C24="Sim",1,0)+IF(D24="Sim",1,0)+IF(E24="Sim",2,0)+IF(F24="Sim",1,0)+IF(G24="Sim",2,0)</f>
        <v>0</v>
      </c>
      <c r="I24" s="13">
        <f>IF(COUNTIF(B24,"Sim")=6,1,0)</f>
        <v>0</v>
      </c>
      <c r="J24" s="13">
        <f>IF(I24=1,J23+1,0)</f>
        <v>0</v>
      </c>
      <c r="K24" s="13">
        <f>IF(J24=14,40,IF(J24=7,15,IF(J24=3,5,0)))</f>
        <v>0</v>
      </c>
      <c r="L24" s="13">
        <f>IF(COUNTIF(B24,"Sim")=0,-2,0)</f>
        <v>-2</v>
      </c>
      <c r="M24" s="13"/>
      <c r="N24" s="13">
        <f>H24+K24+L24</f>
        <v>-2</v>
      </c>
    </row>
    <row r="25" spans="1:14" x14ac:dyDescent="0.35">
      <c r="A25" s="12">
        <f ca="1">DATE(YEAR(TODAY()),MONTH(TODAY()),ROW()-1)</f>
        <v>46136</v>
      </c>
      <c r="B25" s="4"/>
      <c r="C25" s="4"/>
      <c r="D25" s="4"/>
      <c r="E25" s="4"/>
      <c r="F25" s="4"/>
      <c r="G25" s="4"/>
      <c r="H25" s="13">
        <f>IF(B25="Sim",2,0)+IF(C25="Sim",1,0)+IF(D25="Sim",1,0)+IF(E25="Sim",2,0)+IF(F25="Sim",1,0)+IF(G25="Sim",2,0)</f>
        <v>0</v>
      </c>
      <c r="I25" s="13">
        <f>IF(COUNTIF(B25,"Sim")=6,1,0)</f>
        <v>0</v>
      </c>
      <c r="J25" s="13">
        <f>IF(I25=1,J24+1,0)</f>
        <v>0</v>
      </c>
      <c r="K25" s="13">
        <f>IF(J25=14,40,IF(J25=7,15,IF(J25=3,5,0)))</f>
        <v>0</v>
      </c>
      <c r="L25" s="13">
        <f>IF(COUNTIF(B25,"Sim")=0,-2,0)</f>
        <v>-2</v>
      </c>
      <c r="M25" s="13"/>
      <c r="N25" s="13">
        <f>H25+K25+L25</f>
        <v>-2</v>
      </c>
    </row>
    <row r="26" spans="1:14" x14ac:dyDescent="0.35">
      <c r="A26" s="12">
        <f ca="1">DATE(YEAR(TODAY()),MONTH(TODAY()),ROW()-1)</f>
        <v>46137</v>
      </c>
      <c r="B26" s="4"/>
      <c r="C26" s="4"/>
      <c r="D26" s="4"/>
      <c r="E26" s="4"/>
      <c r="F26" s="4"/>
      <c r="G26" s="4"/>
      <c r="H26" s="13">
        <f>IF(B26="Sim",2,0)+IF(C26="Sim",1,0)+IF(D26="Sim",1,0)+IF(E26="Sim",2,0)+IF(F26="Sim",1,0)+IF(G26="Sim",2,0)</f>
        <v>0</v>
      </c>
      <c r="I26" s="13">
        <f>IF(COUNTIF(B26,"Sim")=6,1,0)</f>
        <v>0</v>
      </c>
      <c r="J26" s="13">
        <f>IF(I26=1,J25+1,0)</f>
        <v>0</v>
      </c>
      <c r="K26" s="13">
        <f>IF(J26=14,40,IF(J26=7,15,IF(J26=3,5,0)))</f>
        <v>0</v>
      </c>
      <c r="L26" s="13">
        <f>IF(COUNTIF(B26,"Sim")=0,-2,0)</f>
        <v>-2</v>
      </c>
      <c r="M26" s="13"/>
      <c r="N26" s="13">
        <f>H26+K26+L26</f>
        <v>-2</v>
      </c>
    </row>
    <row r="27" spans="1:14" x14ac:dyDescent="0.35">
      <c r="A27" s="12">
        <f ca="1">DATE(YEAR(TODAY()),MONTH(TODAY()),ROW()-1)</f>
        <v>46138</v>
      </c>
      <c r="B27" s="4"/>
      <c r="C27" s="4"/>
      <c r="D27" s="4"/>
      <c r="E27" s="4"/>
      <c r="F27" s="4"/>
      <c r="G27" s="4"/>
      <c r="H27" s="13">
        <f>IF(B27="Sim",2,0)+IF(C27="Sim",1,0)+IF(D27="Sim",1,0)+IF(E27="Sim",2,0)+IF(F27="Sim",1,0)+IF(G27="Sim",2,0)</f>
        <v>0</v>
      </c>
      <c r="I27" s="13">
        <f>IF(COUNTIF(B27,"Sim")=6,1,0)</f>
        <v>0</v>
      </c>
      <c r="J27" s="13">
        <f>IF(I27=1,J26+1,0)</f>
        <v>0</v>
      </c>
      <c r="K27" s="13">
        <f>IF(J27=14,40,IF(J27=7,15,IF(J27=3,5,0)))</f>
        <v>0</v>
      </c>
      <c r="L27" s="13">
        <f>IF(COUNTIF(B27,"Sim")=0,-2,0)</f>
        <v>-2</v>
      </c>
      <c r="M27" s="13"/>
      <c r="N27" s="13">
        <f>H27+K27+L27</f>
        <v>-2</v>
      </c>
    </row>
    <row r="28" spans="1:14" x14ac:dyDescent="0.35">
      <c r="A28" s="12">
        <f ca="1">DATE(YEAR(TODAY()),MONTH(TODAY()),ROW()-1)</f>
        <v>46139</v>
      </c>
      <c r="B28" s="4"/>
      <c r="C28" s="4"/>
      <c r="D28" s="4"/>
      <c r="E28" s="4"/>
      <c r="F28" s="4"/>
      <c r="G28" s="4"/>
      <c r="H28" s="13">
        <f>IF(B28="Sim",2,0)+IF(C28="Sim",1,0)+IF(D28="Sim",1,0)+IF(E28="Sim",2,0)+IF(F28="Sim",1,0)+IF(G28="Sim",2,0)</f>
        <v>0</v>
      </c>
      <c r="I28" s="13">
        <f>IF(COUNTIF(B28,"Sim")=6,1,0)</f>
        <v>0</v>
      </c>
      <c r="J28" s="13">
        <f>IF(I28=1,J27+1,0)</f>
        <v>0</v>
      </c>
      <c r="K28" s="13">
        <f>IF(J28=14,40,IF(J28=7,15,IF(J28=3,5,0)))</f>
        <v>0</v>
      </c>
      <c r="L28" s="13">
        <f>IF(COUNTIF(B28,"Sim")=0,-2,0)</f>
        <v>-2</v>
      </c>
      <c r="M28" s="13"/>
      <c r="N28" s="13">
        <f>H28+K28+L28</f>
        <v>-2</v>
      </c>
    </row>
    <row r="29" spans="1:14" x14ac:dyDescent="0.35">
      <c r="A29" s="12">
        <f ca="1">DATE(YEAR(TODAY()),MONTH(TODAY()),ROW()-1)</f>
        <v>46140</v>
      </c>
      <c r="B29" s="4"/>
      <c r="C29" s="4"/>
      <c r="D29" s="4"/>
      <c r="E29" s="4"/>
      <c r="F29" s="4"/>
      <c r="G29" s="4"/>
      <c r="H29" s="13">
        <f>IF(B29="Sim",2,0)+IF(C29="Sim",1,0)+IF(D29="Sim",1,0)+IF(E29="Sim",2,0)+IF(F29="Sim",1,0)+IF(G29="Sim",2,0)</f>
        <v>0</v>
      </c>
      <c r="I29" s="13">
        <f>IF(COUNTIF(B29,"Sim")=6,1,0)</f>
        <v>0</v>
      </c>
      <c r="J29" s="13">
        <f>IF(I29=1,J28+1,0)</f>
        <v>0</v>
      </c>
      <c r="K29" s="13">
        <f>IF(J29=14,40,IF(J29=7,15,IF(J29=3,5,0)))</f>
        <v>0</v>
      </c>
      <c r="L29" s="13">
        <f>IF(COUNTIF(B29,"Sim")=0,-2,0)</f>
        <v>-2</v>
      </c>
      <c r="M29" s="13"/>
      <c r="N29" s="13">
        <f>H29+K29+L29</f>
        <v>-2</v>
      </c>
    </row>
    <row r="30" spans="1:14" x14ac:dyDescent="0.35">
      <c r="A30" s="12">
        <f ca="1">DATE(YEAR(TODAY()),MONTH(TODAY()),ROW()-1)</f>
        <v>46141</v>
      </c>
      <c r="B30" s="4"/>
      <c r="C30" s="4"/>
      <c r="D30" s="4"/>
      <c r="E30" s="4"/>
      <c r="F30" s="4"/>
      <c r="G30" s="4"/>
      <c r="H30" s="13">
        <f>IF(B30="Sim",2,0)+IF(C30="Sim",1,0)+IF(D30="Sim",1,0)+IF(E30="Sim",2,0)+IF(F30="Sim",1,0)+IF(G30="Sim",2,0)</f>
        <v>0</v>
      </c>
      <c r="I30" s="13">
        <f>IF(COUNTIF(B30,"Sim")=6,1,0)</f>
        <v>0</v>
      </c>
      <c r="J30" s="13">
        <f>IF(I30=1,J29+1,0)</f>
        <v>0</v>
      </c>
      <c r="K30" s="13">
        <f>IF(J30=14,40,IF(J30=7,15,IF(J30=3,5,0)))</f>
        <v>0</v>
      </c>
      <c r="L30" s="13">
        <f>IF(COUNTIF(B30,"Sim")=0,-2,0)</f>
        <v>-2</v>
      </c>
      <c r="M30" s="13"/>
      <c r="N30" s="13">
        <f>H30+K30+L30</f>
        <v>-2</v>
      </c>
    </row>
    <row r="31" spans="1:14" x14ac:dyDescent="0.35">
      <c r="A31" s="12">
        <f ca="1">DATE(YEAR(TODAY()),MONTH(TODAY()),ROW()-1)</f>
        <v>46142</v>
      </c>
      <c r="B31" s="4"/>
      <c r="C31" s="4"/>
      <c r="D31" s="4"/>
      <c r="E31" s="4"/>
      <c r="F31" s="4"/>
      <c r="G31" s="4"/>
      <c r="H31" s="13">
        <f>IF(B31="Sim",2,0)+IF(C31="Sim",1,0)+IF(D31="Sim",1,0)+IF(E31="Sim",2,0)+IF(F31="Sim",1,0)+IF(G31="Sim",2,0)</f>
        <v>0</v>
      </c>
      <c r="I31" s="13">
        <f>IF(COUNTIF(B31,"Sim")=6,1,0)</f>
        <v>0</v>
      </c>
      <c r="J31" s="13">
        <f>IF(I31=1,J30+1,0)</f>
        <v>0</v>
      </c>
      <c r="K31" s="13">
        <f>IF(J31=14,40,IF(J31=7,15,IF(J31=3,5,0)))</f>
        <v>0</v>
      </c>
      <c r="L31" s="13">
        <f>IF(COUNTIF(B31,"Sim")=0,-2,0)</f>
        <v>-2</v>
      </c>
      <c r="M31" s="13"/>
      <c r="N31" s="13">
        <f>H31+K31+L31</f>
        <v>-2</v>
      </c>
    </row>
    <row r="32" spans="1:14" x14ac:dyDescent="0.35">
      <c r="A32" s="12">
        <f ca="1">DATE(YEAR(TODAY()),MONTH(TODAY()),ROW()-1)</f>
        <v>46143</v>
      </c>
      <c r="B32" s="4"/>
      <c r="C32" s="4"/>
      <c r="D32" s="4"/>
      <c r="E32" s="4"/>
      <c r="F32" s="4"/>
      <c r="G32" s="4"/>
      <c r="H32" s="13">
        <f>IF(B32="Sim",2,0)+IF(C32="Sim",1,0)+IF(D32="Sim",1,0)+IF(E32="Sim",2,0)+IF(F32="Sim",1,0)+IF(G32="Sim",2,0)</f>
        <v>0</v>
      </c>
      <c r="I32" s="13">
        <f>IF(COUNTIF(B32,"Sim")=6,1,0)</f>
        <v>0</v>
      </c>
      <c r="J32" s="13">
        <f>IF(I32=1,J31+1,0)</f>
        <v>0</v>
      </c>
      <c r="K32" s="13">
        <f>IF(J32=14,40,IF(J32=7,15,IF(J32=3,5,0)))</f>
        <v>0</v>
      </c>
      <c r="L32" s="13">
        <f>IF(COUNTIF(B32,"Sim")=0,-2,0)</f>
        <v>-2</v>
      </c>
      <c r="M32" s="13"/>
      <c r="N32" s="13">
        <f>H32+K32+L32</f>
        <v>-2</v>
      </c>
    </row>
  </sheetData>
  <dataValidations count="1">
    <dataValidation type="list" allowBlank="1" showInputMessage="1" showErrorMessage="1" sqref="B2:G32" xr:uid="{7F13AF08-F084-45CD-9897-4952B75FDDC0}">
      <mc:AlternateContent xmlns:x12ac="http://schemas.microsoft.com/office/spreadsheetml/2011/1/ac" xmlns:mc="http://schemas.openxmlformats.org/markup-compatibility/2006">
        <mc:Choice Requires="x12ac">
          <x12ac:list>"Sim,Nao"</x12ac:list>
        </mc:Choice>
        <mc:Fallback>
          <formula1>"Sim,Nao"</formula1>
        </mc:Fallback>
      </mc:AlternateContent>
    </dataValidation>
  </dataValidation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93A7C-1F85-4A3F-8170-44E5D8651C94}">
  <dimension ref="A1:H18"/>
  <sheetViews>
    <sheetView workbookViewId="0"/>
  </sheetViews>
  <sheetFormatPr defaultRowHeight="14.5" x14ac:dyDescent="0.35"/>
  <cols>
    <col min="1" max="1" width="22.26953125" bestFit="1" customWidth="1"/>
    <col min="2" max="2" width="14" bestFit="1" customWidth="1"/>
    <col min="3" max="3" width="1.81640625" bestFit="1" customWidth="1"/>
    <col min="4" max="4" width="11.7265625" bestFit="1" customWidth="1"/>
  </cols>
  <sheetData>
    <row r="1" spans="1:8" x14ac:dyDescent="0.35">
      <c r="A1" s="2" t="s">
        <v>0</v>
      </c>
      <c r="B1" s="3"/>
      <c r="C1" s="3"/>
      <c r="D1" s="3"/>
      <c r="E1" s="3"/>
      <c r="F1" s="3"/>
      <c r="G1" s="3"/>
      <c r="H1" s="3"/>
    </row>
    <row r="2" spans="1:8" x14ac:dyDescent="0.35">
      <c r="A2" s="3"/>
      <c r="B2" s="3"/>
      <c r="C2" s="3"/>
      <c r="D2" s="3"/>
      <c r="E2" s="3"/>
      <c r="F2" s="3"/>
      <c r="G2" s="3"/>
      <c r="H2" s="3"/>
    </row>
    <row r="4" spans="1:8" x14ac:dyDescent="0.35">
      <c r="A4" s="5" t="s">
        <v>1</v>
      </c>
      <c r="B4" s="6" t="s">
        <v>2</v>
      </c>
      <c r="C4" s="6"/>
      <c r="D4" s="6"/>
    </row>
    <row r="5" spans="1:8" x14ac:dyDescent="0.35">
      <c r="A5" s="5" t="s">
        <v>3</v>
      </c>
      <c r="B5" s="6">
        <f>SUM(Diario!N:N)+SUM(Notas!D:D)+B12+B13+B14</f>
        <v>-12</v>
      </c>
      <c r="C5" s="6"/>
      <c r="D5" s="6"/>
    </row>
    <row r="6" spans="1:8" x14ac:dyDescent="0.35">
      <c r="A6" s="5" t="s">
        <v>4</v>
      </c>
      <c r="B6" s="6">
        <f>MAX(0,3000-B5)</f>
        <v>3012</v>
      </c>
      <c r="C6" s="6"/>
      <c r="D6" s="6"/>
    </row>
    <row r="7" spans="1:8" x14ac:dyDescent="0.35">
      <c r="A7" s="5" t="s">
        <v>5</v>
      </c>
      <c r="B7" s="7">
        <f>B5/3000</f>
        <v>-4.0000000000000001E-3</v>
      </c>
      <c r="C7" s="6"/>
      <c r="D7" s="6"/>
    </row>
    <row r="8" spans="1:8" x14ac:dyDescent="0.35">
      <c r="A8" s="5"/>
      <c r="B8" s="6"/>
      <c r="C8" s="6"/>
      <c r="D8" s="6"/>
    </row>
    <row r="9" spans="1:8" x14ac:dyDescent="0.35">
      <c r="A9" s="5" t="s">
        <v>6</v>
      </c>
      <c r="B9" s="6" t="str">
        <f>IF(B5&lt;300,"Level 1",IF(B5&lt;800,"Level 2",IF(B5&lt;1500,"Level 3",IF(B5&lt;2000,"Level 4","Level 5"))))</f>
        <v>Level 1</v>
      </c>
      <c r="C9" s="6"/>
      <c r="D9" s="6"/>
    </row>
    <row r="10" spans="1:8" x14ac:dyDescent="0.35">
      <c r="A10" s="5" t="s">
        <v>7</v>
      </c>
      <c r="B10" s="6" t="str">
        <f>IF(B5&lt;300,"Lanche especial",IF(B5&lt;800,"Filme + pipoca",IF(B5&lt;1500,"Brinquedo",IF(B5&lt;2000,"Passeio","Nintendo Switch"))))</f>
        <v>Lanche especial</v>
      </c>
      <c r="C10" s="6"/>
      <c r="D10" s="6"/>
    </row>
    <row r="11" spans="1:8" x14ac:dyDescent="0.35">
      <c r="A11" s="5"/>
      <c r="B11" s="6"/>
      <c r="C11" s="6"/>
      <c r="D11" s="6"/>
    </row>
    <row r="12" spans="1:8" x14ac:dyDescent="0.35">
      <c r="A12" s="5" t="s">
        <v>8</v>
      </c>
      <c r="B12" s="6">
        <f>IF(C12&gt;=5,150,0)</f>
        <v>0</v>
      </c>
      <c r="C12" s="6">
        <f>COUNTIF(Notas!B:B,10)</f>
        <v>0</v>
      </c>
      <c r="D12" s="6" t="s">
        <v>9</v>
      </c>
    </row>
    <row r="13" spans="1:8" x14ac:dyDescent="0.35">
      <c r="A13" s="5" t="s">
        <v>10</v>
      </c>
      <c r="B13" s="6">
        <f>IF(C13&gt;=7,100,0)</f>
        <v>0</v>
      </c>
      <c r="C13" s="6">
        <f>COUNTIF(Diario!K:K,1)</f>
        <v>0</v>
      </c>
      <c r="D13" s="6" t="s">
        <v>11</v>
      </c>
    </row>
    <row r="14" spans="1:8" x14ac:dyDescent="0.35">
      <c r="A14" s="5" t="s">
        <v>12</v>
      </c>
      <c r="B14" s="6">
        <f>IF(Ranking!H2=1,50,IF(Ranking!H2=2,30,IF(Ranking!H2=3,10,0)))</f>
        <v>50</v>
      </c>
      <c r="C14" s="6"/>
      <c r="D14" s="6"/>
    </row>
    <row r="15" spans="1:8" x14ac:dyDescent="0.35">
      <c r="A15" s="5"/>
      <c r="B15" s="6"/>
      <c r="C15" s="6"/>
      <c r="D15" s="6"/>
    </row>
    <row r="16" spans="1:8" x14ac:dyDescent="0.35">
      <c r="A16" s="5" t="s">
        <v>13</v>
      </c>
      <c r="B16" s="6"/>
      <c r="C16" s="6"/>
      <c r="D16" s="6"/>
    </row>
    <row r="17" spans="1:7" x14ac:dyDescent="0.35">
      <c r="A17" s="8" t="str">
        <f>REPT("#",ROUND(B7*30,0))&amp;REPT("-",30-ROUND(B7*30,0))</f>
        <v>------------------------------</v>
      </c>
      <c r="B17" s="9"/>
      <c r="C17" s="9"/>
      <c r="D17" s="9"/>
      <c r="E17" s="1"/>
      <c r="F17" s="1"/>
      <c r="G17" s="1"/>
    </row>
    <row r="18" spans="1:7" x14ac:dyDescent="0.35">
      <c r="A18" s="1"/>
      <c r="B18" s="1"/>
      <c r="C18" s="1"/>
      <c r="D18" s="1"/>
      <c r="E18" s="1"/>
      <c r="F18" s="1"/>
      <c r="G18" s="1"/>
    </row>
  </sheetData>
  <mergeCells count="2">
    <mergeCell ref="A1:H2"/>
    <mergeCell ref="A17:G1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Regras</vt:lpstr>
      <vt:lpstr>Ranking</vt:lpstr>
      <vt:lpstr>Notas</vt:lpstr>
      <vt:lpstr>Diario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Pereira Dos Santos</dc:creator>
  <cp:lastModifiedBy>Tiago Pereira Dos Santos</cp:lastModifiedBy>
  <dcterms:created xsi:type="dcterms:W3CDTF">2026-04-19T21:40:19Z</dcterms:created>
  <dcterms:modified xsi:type="dcterms:W3CDTF">2026-04-20T01:36:04Z</dcterms:modified>
</cp:coreProperties>
</file>